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f4a342defc46d0/Documents/"/>
    </mc:Choice>
  </mc:AlternateContent>
  <xr:revisionPtr revIDLastSave="905" documentId="8_{A4BED662-B9C4-43BC-8AFF-8FD36FA1402C}" xr6:coauthVersionLast="47" xr6:coauthVersionMax="47" xr10:uidLastSave="{7A3B5B01-0ECC-4E74-B407-B5E008A0FF50}"/>
  <bookViews>
    <workbookView xWindow="-110" yWindow="-110" windowWidth="19420" windowHeight="10300" xr2:uid="{25AAE682-2BF0-41ED-971C-40FB1AD91BFF}"/>
  </bookViews>
  <sheets>
    <sheet name="Sheet1" sheetId="1" r:id="rId1"/>
  </sheets>
  <definedNames>
    <definedName name="solver_adj" localSheetId="0" hidden="1">Sheet1!$B$41:$D$43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Sheet1!$B$44:$D$44</definedName>
    <definedName name="solver_lhs2" localSheetId="0" hidden="1">Sheet1!$E$41:$E$43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Sheet1!$B$48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Sheet1!$B$46:$D$46</definedName>
    <definedName name="solver_rhs2" localSheetId="0" hidden="1">Sheet1!$G$41:$G$43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4" i="1" l="1"/>
  <c r="C56" i="1" s="1"/>
  <c r="B48" i="1"/>
  <c r="C27" i="1"/>
  <c r="D27" i="1"/>
  <c r="D44" i="1"/>
  <c r="C44" i="1"/>
  <c r="B44" i="1"/>
  <c r="E42" i="1"/>
  <c r="E43" i="1"/>
  <c r="E41" i="1"/>
  <c r="B29" i="1"/>
  <c r="D19" i="1"/>
  <c r="C19" i="1"/>
  <c r="B19" i="1"/>
  <c r="E18" i="1"/>
  <c r="E17" i="1"/>
  <c r="D12" i="1"/>
  <c r="D11" i="1"/>
  <c r="B6" i="1"/>
  <c r="C54" i="1"/>
  <c r="C6" i="1"/>
</calcChain>
</file>

<file path=xl/sharedStrings.xml><?xml version="1.0" encoding="utf-8"?>
<sst xmlns="http://schemas.openxmlformats.org/spreadsheetml/2006/main" count="65" uniqueCount="40">
  <si>
    <t>Greek yogurt</t>
  </si>
  <si>
    <t>Almond Milk</t>
  </si>
  <si>
    <t>Variables:</t>
  </si>
  <si>
    <t>Objective Function:</t>
  </si>
  <si>
    <t>Maximaize Profit:</t>
  </si>
  <si>
    <t xml:space="preserve">Constraints: </t>
  </si>
  <si>
    <t>LHS</t>
  </si>
  <si>
    <t xml:space="preserve">SIGN </t>
  </si>
  <si>
    <t>RHS</t>
  </si>
  <si>
    <t>labor cannot exceed 600 hours per week</t>
  </si>
  <si>
    <r>
      <rPr>
        <sz val="8"/>
        <color theme="1"/>
        <rFont val="Arial"/>
        <family val="2"/>
      </rPr>
      <t>1,200 gallons</t>
    </r>
    <r>
      <rPr>
        <sz val="11"/>
        <color theme="1"/>
        <rFont val="Aptos Narrow"/>
        <family val="2"/>
        <scheme val="minor"/>
      </rPr>
      <t xml:space="preserve"> available per week</t>
    </r>
  </si>
  <si>
    <t>&lt;=</t>
  </si>
  <si>
    <t>LINEAR PROGRAMING PROBLEM :</t>
  </si>
  <si>
    <t xml:space="preserve">TRANSPORTATION PROBLEM: </t>
  </si>
  <si>
    <t>PLAN A</t>
  </si>
  <si>
    <t>PLAN B</t>
  </si>
  <si>
    <t xml:space="preserve">WAREHOUSE 1 </t>
  </si>
  <si>
    <t>WAREHOUSE 2</t>
  </si>
  <si>
    <t>WAREHOUSE 3</t>
  </si>
  <si>
    <t xml:space="preserve">PLAN A </t>
  </si>
  <si>
    <t xml:space="preserve">ACTUAL SHIPPED </t>
  </si>
  <si>
    <t>ACTUAL RECEIVED</t>
  </si>
  <si>
    <t xml:space="preserve">RHS </t>
  </si>
  <si>
    <t>=</t>
  </si>
  <si>
    <t>TOTAL COST</t>
  </si>
  <si>
    <t xml:space="preserve">MINIMIZE OBJECTVE FUNCTION </t>
  </si>
  <si>
    <t xml:space="preserve">ASSIGMENT PROBLEMS: </t>
  </si>
  <si>
    <t>SAM</t>
  </si>
  <si>
    <t>DAVID</t>
  </si>
  <si>
    <t>ANNA</t>
  </si>
  <si>
    <t>PASTURIZATION</t>
  </si>
  <si>
    <t>CHILLING</t>
  </si>
  <si>
    <t xml:space="preserve">LABELING </t>
  </si>
  <si>
    <t>EMPLOYEE TOTAL</t>
  </si>
  <si>
    <t xml:space="preserve">MACHINE LINE TOTAL </t>
  </si>
  <si>
    <t xml:space="preserve">MINIMIZA OBJECTIVE FUNCTION : </t>
  </si>
  <si>
    <t>Data Tables &amp; What-If Analysis (One-Way &amp; Two-Way Tables)</t>
  </si>
  <si>
    <t>MATERIAL COST</t>
  </si>
  <si>
    <t xml:space="preserve">NET INCOME </t>
  </si>
  <si>
    <t xml:space="preserve">BASE MATERIAL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</si>
</sst>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64" formatCode="_-[$$-409]* #,##0_ ;_-[$$-409]* \-#,##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4" borderId="0" xfId="0" applyFill="1"/>
    <xf numFmtId="164" fontId="0" fillId="0" borderId="1" xfId="0" applyNumberFormat="1" applyBorder="1"/>
    <xf numFmtId="164" fontId="0" fillId="2" borderId="1" xfId="0" applyNumberFormat="1" applyFill="1" applyBorder="1"/>
    <xf numFmtId="164" fontId="0" fillId="3" borderId="0" xfId="0" applyNumberFormat="1" applyFill="1"/>
    <xf numFmtId="164" fontId="0" fillId="0" borderId="0" xfId="1" applyNumberFormat="1" applyFont="1"/>
    <xf numFmtId="164" fontId="0" fillId="5" borderId="1" xfId="0" applyNumberFormat="1" applyFill="1" applyBorder="1"/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E775-8278-4169-ADB4-1B3C38FD7AFB}">
  <dimension ref="A1:G64"/>
  <sheetViews>
    <sheetView tabSelected="1" topLeftCell="A46" workbookViewId="0">
      <selection activeCell="E61" sqref="E61"/>
    </sheetView>
  </sheetViews>
  <sheetFormatPr defaultRowHeight="14.5" x14ac:dyDescent="0.35"/>
  <cols>
    <col min="1" max="1" width="33.453125" bestFit="1" customWidth="1"/>
    <col min="2" max="2" width="13.81640625" bestFit="1" customWidth="1"/>
    <col min="3" max="3" width="23.1796875" customWidth="1"/>
    <col min="4" max="4" width="13" bestFit="1" customWidth="1"/>
    <col min="5" max="5" width="15.36328125" bestFit="1" customWidth="1"/>
  </cols>
  <sheetData>
    <row r="1" spans="1:7" x14ac:dyDescent="0.35">
      <c r="A1" s="14" t="s">
        <v>12</v>
      </c>
      <c r="B1" s="14"/>
      <c r="C1" s="14"/>
      <c r="D1" s="14"/>
      <c r="E1" s="14"/>
      <c r="F1" s="14"/>
    </row>
    <row r="2" spans="1:7" x14ac:dyDescent="0.35">
      <c r="B2" t="s">
        <v>1</v>
      </c>
      <c r="C2" t="s">
        <v>0</v>
      </c>
    </row>
    <row r="3" spans="1:7" x14ac:dyDescent="0.35">
      <c r="A3" t="s">
        <v>2</v>
      </c>
      <c r="B3" s="1">
        <v>150</v>
      </c>
      <c r="C3" s="1">
        <v>300</v>
      </c>
    </row>
    <row r="4" spans="1:7" x14ac:dyDescent="0.35">
      <c r="B4" s="2">
        <v>40</v>
      </c>
      <c r="C4" s="2">
        <v>30</v>
      </c>
    </row>
    <row r="6" spans="1:7" x14ac:dyDescent="0.35">
      <c r="A6" t="s">
        <v>3</v>
      </c>
      <c r="B6" s="3">
        <f>SUMPRODUCT(B3:C3,B4:C4)</f>
        <v>15000</v>
      </c>
      <c r="C6" t="str">
        <f ca="1">_xlfn.FORMULATEXT(B6)</f>
        <v>=SUMPRODUCT(B3:C3,B4:C4)</v>
      </c>
    </row>
    <row r="7" spans="1:7" x14ac:dyDescent="0.35">
      <c r="A7" t="s">
        <v>4</v>
      </c>
    </row>
    <row r="10" spans="1:7" x14ac:dyDescent="0.35">
      <c r="A10" s="4" t="s">
        <v>5</v>
      </c>
      <c r="B10" s="4"/>
      <c r="C10" s="4"/>
      <c r="D10" s="4" t="s">
        <v>6</v>
      </c>
      <c r="E10" s="4" t="s">
        <v>7</v>
      </c>
      <c r="F10" s="4" t="s">
        <v>8</v>
      </c>
    </row>
    <row r="11" spans="1:7" x14ac:dyDescent="0.35">
      <c r="A11" s="5" t="s">
        <v>10</v>
      </c>
      <c r="B11" s="4">
        <v>2</v>
      </c>
      <c r="C11" s="4">
        <v>3</v>
      </c>
      <c r="D11" s="4">
        <f>SUMPRODUCT(B3:C3,$B$11:$C$11)</f>
        <v>1200</v>
      </c>
      <c r="E11" s="4" t="s">
        <v>11</v>
      </c>
      <c r="F11" s="4">
        <v>1200</v>
      </c>
    </row>
    <row r="12" spans="1:7" x14ac:dyDescent="0.35">
      <c r="A12" s="4" t="s">
        <v>9</v>
      </c>
      <c r="B12" s="4">
        <v>2</v>
      </c>
      <c r="C12" s="4">
        <v>1</v>
      </c>
      <c r="D12" s="4">
        <f>SUMPRODUCT(B3:C3,B12:C12)</f>
        <v>600</v>
      </c>
      <c r="E12" s="4" t="s">
        <v>11</v>
      </c>
      <c r="F12" s="4">
        <v>600</v>
      </c>
    </row>
    <row r="15" spans="1:7" x14ac:dyDescent="0.35">
      <c r="A15" s="14" t="s">
        <v>13</v>
      </c>
      <c r="B15" s="14"/>
      <c r="C15" s="14"/>
      <c r="D15" s="14"/>
      <c r="E15" s="14"/>
      <c r="F15" s="14"/>
    </row>
    <row r="16" spans="1:7" x14ac:dyDescent="0.35">
      <c r="A16" s="4"/>
      <c r="B16" s="4" t="s">
        <v>16</v>
      </c>
      <c r="C16" s="6" t="s">
        <v>17</v>
      </c>
      <c r="D16" s="4" t="s">
        <v>18</v>
      </c>
      <c r="E16" s="4" t="s">
        <v>20</v>
      </c>
      <c r="F16" s="4" t="s">
        <v>7</v>
      </c>
      <c r="G16" s="4" t="s">
        <v>22</v>
      </c>
    </row>
    <row r="17" spans="1:7" x14ac:dyDescent="0.35">
      <c r="A17" s="4" t="s">
        <v>14</v>
      </c>
      <c r="B17" s="7">
        <v>200</v>
      </c>
      <c r="C17" s="7">
        <v>100</v>
      </c>
      <c r="D17" s="7">
        <v>0</v>
      </c>
      <c r="E17" s="4">
        <f>SUM(B17:D17)</f>
        <v>300</v>
      </c>
      <c r="F17" s="4" t="s">
        <v>11</v>
      </c>
      <c r="G17" s="4">
        <v>300</v>
      </c>
    </row>
    <row r="18" spans="1:7" x14ac:dyDescent="0.35">
      <c r="A18" s="4" t="s">
        <v>15</v>
      </c>
      <c r="B18" s="7">
        <v>0</v>
      </c>
      <c r="C18" s="7">
        <v>200</v>
      </c>
      <c r="D18" s="7">
        <v>200</v>
      </c>
      <c r="E18" s="4">
        <f>SUM(B18:D18)</f>
        <v>400</v>
      </c>
      <c r="F18" s="4" t="s">
        <v>11</v>
      </c>
      <c r="G18" s="4">
        <v>400</v>
      </c>
    </row>
    <row r="19" spans="1:7" x14ac:dyDescent="0.35">
      <c r="A19" s="4" t="s">
        <v>21</v>
      </c>
      <c r="B19" s="4">
        <f>SUM(B17:B18)</f>
        <v>200</v>
      </c>
      <c r="C19" s="4">
        <f>SUM(C17:C18)</f>
        <v>300</v>
      </c>
      <c r="D19" s="4">
        <f>SUM(D17:D18)</f>
        <v>200</v>
      </c>
      <c r="E19" s="4"/>
      <c r="F19" s="4"/>
      <c r="G19" s="4"/>
    </row>
    <row r="20" spans="1:7" x14ac:dyDescent="0.35">
      <c r="A20" s="4"/>
      <c r="B20" s="4" t="s">
        <v>23</v>
      </c>
      <c r="C20" s="4" t="s">
        <v>23</v>
      </c>
      <c r="D20" s="4" t="s">
        <v>23</v>
      </c>
      <c r="E20" s="4"/>
      <c r="F20" s="4"/>
      <c r="G20" s="4"/>
    </row>
    <row r="21" spans="1:7" x14ac:dyDescent="0.35">
      <c r="A21" s="4"/>
      <c r="B21" s="4">
        <v>200</v>
      </c>
      <c r="C21" s="4">
        <v>300</v>
      </c>
      <c r="D21" s="4">
        <v>200</v>
      </c>
      <c r="E21" s="4"/>
      <c r="F21" s="4"/>
      <c r="G21" s="4"/>
    </row>
    <row r="24" spans="1:7" x14ac:dyDescent="0.35">
      <c r="A24" s="4"/>
      <c r="B24" s="4" t="s">
        <v>16</v>
      </c>
      <c r="C24" s="6" t="s">
        <v>17</v>
      </c>
      <c r="D24" s="4" t="s">
        <v>18</v>
      </c>
      <c r="E24" s="4"/>
    </row>
    <row r="25" spans="1:7" x14ac:dyDescent="0.35">
      <c r="A25" s="4" t="s">
        <v>19</v>
      </c>
      <c r="B25" s="4">
        <v>5</v>
      </c>
      <c r="C25" s="4">
        <v>6</v>
      </c>
      <c r="D25" s="4">
        <v>8</v>
      </c>
      <c r="E25" s="4"/>
    </row>
    <row r="26" spans="1:7" x14ac:dyDescent="0.35">
      <c r="A26" s="4" t="s">
        <v>15</v>
      </c>
      <c r="B26" s="4">
        <v>7</v>
      </c>
      <c r="C26" s="4">
        <v>4</v>
      </c>
      <c r="D26" s="4">
        <v>5</v>
      </c>
      <c r="E26" s="4"/>
    </row>
    <row r="27" spans="1:7" x14ac:dyDescent="0.35">
      <c r="A27" s="4" t="s">
        <v>37</v>
      </c>
      <c r="B27" s="4">
        <v>12</v>
      </c>
      <c r="C27" s="4">
        <f t="shared" ref="C27:D27" si="0">SUM(C25:C26)</f>
        <v>10</v>
      </c>
      <c r="D27" s="4">
        <f t="shared" si="0"/>
        <v>13</v>
      </c>
      <c r="E27" s="4"/>
    </row>
    <row r="29" spans="1:7" x14ac:dyDescent="0.35">
      <c r="A29" t="s">
        <v>24</v>
      </c>
      <c r="B29" s="8">
        <f>SUMPRODUCT(B25:D26,B17:D18)</f>
        <v>3400</v>
      </c>
    </row>
    <row r="30" spans="1:7" x14ac:dyDescent="0.35">
      <c r="A30" t="s">
        <v>25</v>
      </c>
    </row>
    <row r="33" spans="1:7" x14ac:dyDescent="0.35">
      <c r="A33" s="14" t="s">
        <v>26</v>
      </c>
      <c r="B33" s="14"/>
      <c r="C33" s="14"/>
      <c r="D33" s="14"/>
      <c r="E33" s="14"/>
    </row>
    <row r="34" spans="1:7" x14ac:dyDescent="0.35">
      <c r="A34" s="4"/>
      <c r="B34" s="4" t="s">
        <v>30</v>
      </c>
      <c r="C34" s="6" t="s">
        <v>31</v>
      </c>
      <c r="D34" s="4" t="s">
        <v>32</v>
      </c>
    </row>
    <row r="35" spans="1:7" x14ac:dyDescent="0.35">
      <c r="A35" s="4" t="s">
        <v>27</v>
      </c>
      <c r="B35" s="9">
        <v>90</v>
      </c>
      <c r="C35" s="9">
        <v>30</v>
      </c>
      <c r="D35" s="9">
        <v>40</v>
      </c>
    </row>
    <row r="36" spans="1:7" x14ac:dyDescent="0.35">
      <c r="A36" s="4" t="s">
        <v>29</v>
      </c>
      <c r="B36" s="9">
        <v>50</v>
      </c>
      <c r="C36" s="9">
        <v>70</v>
      </c>
      <c r="D36" s="9">
        <v>60</v>
      </c>
    </row>
    <row r="37" spans="1:7" x14ac:dyDescent="0.35">
      <c r="A37" s="4" t="s">
        <v>28</v>
      </c>
      <c r="B37" s="9">
        <v>40</v>
      </c>
      <c r="C37" s="9">
        <v>80</v>
      </c>
      <c r="D37" s="9">
        <v>20</v>
      </c>
    </row>
    <row r="40" spans="1:7" x14ac:dyDescent="0.35">
      <c r="A40" s="4"/>
      <c r="B40" s="4" t="s">
        <v>30</v>
      </c>
      <c r="C40" s="6" t="s">
        <v>31</v>
      </c>
      <c r="D40" s="4" t="s">
        <v>32</v>
      </c>
      <c r="E40" s="4" t="s">
        <v>33</v>
      </c>
      <c r="F40" s="4" t="s">
        <v>7</v>
      </c>
      <c r="G40" s="4" t="s">
        <v>8</v>
      </c>
    </row>
    <row r="41" spans="1:7" x14ac:dyDescent="0.35">
      <c r="A41" s="4" t="s">
        <v>27</v>
      </c>
      <c r="B41" s="10">
        <v>0</v>
      </c>
      <c r="C41" s="10">
        <v>1</v>
      </c>
      <c r="D41" s="10">
        <v>0</v>
      </c>
      <c r="E41" s="9">
        <f>SUM(B41:D41)</f>
        <v>1</v>
      </c>
      <c r="F41" s="4" t="s">
        <v>23</v>
      </c>
      <c r="G41" s="4">
        <v>1</v>
      </c>
    </row>
    <row r="42" spans="1:7" x14ac:dyDescent="0.35">
      <c r="A42" s="4" t="s">
        <v>29</v>
      </c>
      <c r="B42" s="10">
        <v>1</v>
      </c>
      <c r="C42" s="10">
        <v>0</v>
      </c>
      <c r="D42" s="10">
        <v>0</v>
      </c>
      <c r="E42" s="9">
        <f t="shared" ref="E42:E43" si="1">SUM(B42:D42)</f>
        <v>1</v>
      </c>
      <c r="F42" s="4" t="s">
        <v>23</v>
      </c>
      <c r="G42" s="4">
        <v>1</v>
      </c>
    </row>
    <row r="43" spans="1:7" x14ac:dyDescent="0.35">
      <c r="A43" s="4" t="s">
        <v>28</v>
      </c>
      <c r="B43" s="10">
        <v>0</v>
      </c>
      <c r="C43" s="10">
        <v>0</v>
      </c>
      <c r="D43" s="10">
        <v>1</v>
      </c>
      <c r="E43" s="9">
        <f t="shared" si="1"/>
        <v>1</v>
      </c>
      <c r="F43" s="4" t="s">
        <v>23</v>
      </c>
      <c r="G43" s="4">
        <v>1</v>
      </c>
    </row>
    <row r="44" spans="1:7" x14ac:dyDescent="0.35">
      <c r="A44" s="4" t="s">
        <v>34</v>
      </c>
      <c r="B44" s="9">
        <f>SUM(B41:B43)</f>
        <v>1</v>
      </c>
      <c r="C44" s="9">
        <f t="shared" ref="C44:D44" si="2">SUM(C41:C43)</f>
        <v>1</v>
      </c>
      <c r="D44" s="9">
        <f t="shared" si="2"/>
        <v>1</v>
      </c>
      <c r="E44" s="4"/>
      <c r="F44" s="4"/>
      <c r="G44" s="4"/>
    </row>
    <row r="45" spans="1:7" x14ac:dyDescent="0.35">
      <c r="A45" s="4"/>
      <c r="B45" s="4" t="s">
        <v>23</v>
      </c>
      <c r="C45" s="4" t="s">
        <v>23</v>
      </c>
      <c r="D45" s="4" t="s">
        <v>23</v>
      </c>
      <c r="E45" s="4"/>
      <c r="F45" s="4"/>
      <c r="G45" s="4"/>
    </row>
    <row r="46" spans="1:7" x14ac:dyDescent="0.35">
      <c r="A46" s="4"/>
      <c r="B46" s="4">
        <v>1</v>
      </c>
      <c r="C46" s="4">
        <v>1</v>
      </c>
      <c r="D46" s="4">
        <v>1</v>
      </c>
      <c r="E46" s="4"/>
      <c r="F46" s="4"/>
      <c r="G46" s="4"/>
    </row>
    <row r="48" spans="1:7" x14ac:dyDescent="0.35">
      <c r="A48" t="s">
        <v>24</v>
      </c>
      <c r="B48" s="3">
        <f>SUMPRODUCT(B35:D37,B41:D43)</f>
        <v>100</v>
      </c>
    </row>
    <row r="49" spans="1:5" x14ac:dyDescent="0.35">
      <c r="A49" t="s">
        <v>35</v>
      </c>
    </row>
    <row r="51" spans="1:5" x14ac:dyDescent="0.35">
      <c r="A51" s="14" t="s">
        <v>36</v>
      </c>
      <c r="B51" s="14"/>
      <c r="C51" s="14"/>
      <c r="D51" s="14"/>
      <c r="E51" s="14"/>
    </row>
    <row r="52" spans="1:5" x14ac:dyDescent="0.35">
      <c r="A52" t="s">
        <v>39</v>
      </c>
      <c r="B52" s="2">
        <v>12</v>
      </c>
      <c r="C52" s="12">
        <v>9</v>
      </c>
    </row>
    <row r="54" spans="1:5" x14ac:dyDescent="0.35">
      <c r="A54" t="s">
        <v>38</v>
      </c>
      <c r="B54" s="11">
        <f>((B3*B4)+(C3*C4))-((B3+C3)*B52)</f>
        <v>9600</v>
      </c>
      <c r="C54" t="str">
        <f ca="1">_xlfn.FORMULATEXT(B54)</f>
        <v>=((B3*B4)+(C3*C4))-((B3+C3)*B52)</v>
      </c>
    </row>
    <row r="56" spans="1:5" x14ac:dyDescent="0.35">
      <c r="B56" s="13"/>
      <c r="C56" s="9">
        <f>(B54)</f>
        <v>9600</v>
      </c>
    </row>
    <row r="57" spans="1:5" x14ac:dyDescent="0.35">
      <c r="B57" s="9">
        <v>10</v>
      </c>
      <c r="C57" s="4">
        <f t="dataTable" ref="C57:C64" dt2D="0" dtr="0" r1="B52"/>
        <v>10500</v>
      </c>
    </row>
    <row r="58" spans="1:5" x14ac:dyDescent="0.35">
      <c r="B58" s="9">
        <v>20</v>
      </c>
      <c r="C58" s="4">
        <v>6000</v>
      </c>
    </row>
    <row r="59" spans="1:5" x14ac:dyDescent="0.35">
      <c r="B59" s="9">
        <v>30</v>
      </c>
      <c r="C59" s="4">
        <v>1500</v>
      </c>
    </row>
    <row r="60" spans="1:5" x14ac:dyDescent="0.35">
      <c r="B60" s="9">
        <v>40</v>
      </c>
      <c r="C60" s="4">
        <v>-3000</v>
      </c>
    </row>
    <row r="61" spans="1:5" x14ac:dyDescent="0.35">
      <c r="B61" s="9">
        <v>50</v>
      </c>
      <c r="C61" s="4">
        <v>-7500</v>
      </c>
    </row>
    <row r="62" spans="1:5" x14ac:dyDescent="0.35">
      <c r="B62" s="9">
        <v>60</v>
      </c>
      <c r="C62" s="4">
        <v>-12000</v>
      </c>
    </row>
    <row r="63" spans="1:5" x14ac:dyDescent="0.35">
      <c r="B63" s="9">
        <v>70</v>
      </c>
      <c r="C63" s="4">
        <v>-16500</v>
      </c>
    </row>
    <row r="64" spans="1:5" x14ac:dyDescent="0.35">
      <c r="B64" s="9">
        <v>80</v>
      </c>
      <c r="C64" s="4">
        <v>-21000</v>
      </c>
    </row>
  </sheetData>
  <mergeCells count="4">
    <mergeCell ref="A1:F1"/>
    <mergeCell ref="A15:F15"/>
    <mergeCell ref="A33:E33"/>
    <mergeCell ref="A51:E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Hanif</dc:creator>
  <cp:lastModifiedBy>Amna Hanif</cp:lastModifiedBy>
  <dcterms:created xsi:type="dcterms:W3CDTF">2026-09-12T12:57:31Z</dcterms:created>
  <dcterms:modified xsi:type="dcterms:W3CDTF">2026-09-12T14:58:56Z</dcterms:modified>
</cp:coreProperties>
</file>